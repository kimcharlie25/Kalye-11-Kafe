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CRUBBED 2116\Downloads\"/>
    </mc:Choice>
  </mc:AlternateContent>
  <xr:revisionPtr revIDLastSave="0" documentId="13_ncr:1_{22A43FAF-AD59-4C76-8F93-BED3B4ADCD76}" xr6:coauthVersionLast="47" xr6:coauthVersionMax="47" xr10:uidLastSave="{00000000-0000-0000-0000-000000000000}"/>
  <bookViews>
    <workbookView xWindow="-108" yWindow="-108" windowWidth="23256" windowHeight="13896" activeTab="3" xr2:uid="{3FD92795-6B02-42B0-B68E-7BFDF0029E10}"/>
  </bookViews>
  <sheets>
    <sheet name="Main Inventory " sheetId="1" r:id="rId1"/>
    <sheet name="Purchases" sheetId="3" r:id="rId2"/>
    <sheet name="Supplier" sheetId="2" r:id="rId3"/>
    <sheet name="COST PER SERVING" sheetId="4" r:id="rId4"/>
    <sheet name="COST PER SERVING_Formula" sheetId="5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4" l="1"/>
  <c r="A24" i="4"/>
  <c r="A20" i="4"/>
  <c r="A19" i="4"/>
  <c r="A16" i="4"/>
  <c r="A12" i="4"/>
  <c r="A13" i="4"/>
  <c r="D8" i="3"/>
  <c r="J3" i="1"/>
  <c r="J4" i="1"/>
  <c r="J5" i="1"/>
  <c r="J2" i="1"/>
  <c r="I4" i="1"/>
  <c r="I5" i="1"/>
  <c r="I3" i="1"/>
  <c r="I2" i="1"/>
  <c r="D3" i="1"/>
  <c r="H3" i="1" s="1"/>
  <c r="D4" i="1"/>
  <c r="H4" i="1" s="1"/>
  <c r="D5" i="1"/>
  <c r="H5" i="1" s="1"/>
  <c r="D2" i="1"/>
  <c r="H2" i="1" s="1"/>
  <c r="D7" i="3"/>
  <c r="E3" i="1"/>
  <c r="E4" i="1"/>
  <c r="A17" i="4" s="1"/>
  <c r="E5" i="1"/>
  <c r="E2" i="1"/>
  <c r="D3" i="3"/>
  <c r="D4" i="3"/>
  <c r="D5" i="3"/>
  <c r="D6" i="3"/>
  <c r="D2" i="3"/>
  <c r="F5" i="1" l="1"/>
  <c r="F3" i="1"/>
  <c r="F4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SCRUBBED 2116</author>
  </authors>
  <commentList>
    <comment ref="A25" authorId="0" shapeId="0" xr:uid="{678467D8-89C1-41B6-9C32-8B2633B25EE2}">
      <text>
        <r>
          <rPr>
            <b/>
            <sz val="9"/>
            <color indexed="81"/>
            <rFont val="Tahoma"/>
            <family val="2"/>
          </rPr>
          <t xml:space="preserve">Assumed </t>
        </r>
      </text>
    </comment>
  </commentList>
</comments>
</file>

<file path=xl/sharedStrings.xml><?xml version="1.0" encoding="utf-8"?>
<sst xmlns="http://schemas.openxmlformats.org/spreadsheetml/2006/main" count="93" uniqueCount="65">
  <si>
    <t xml:space="preserve">Item Name </t>
  </si>
  <si>
    <t>Stock</t>
  </si>
  <si>
    <t>Unit cost</t>
  </si>
  <si>
    <t>Reorder point</t>
  </si>
  <si>
    <t>Status</t>
  </si>
  <si>
    <t>Supplier</t>
  </si>
  <si>
    <t>contact</t>
  </si>
  <si>
    <t>Total Value</t>
  </si>
  <si>
    <t>Category</t>
  </si>
  <si>
    <t>Unit (bag/ctn)</t>
  </si>
  <si>
    <t>Caramel Syrup</t>
  </si>
  <si>
    <t>Syrup</t>
  </si>
  <si>
    <t>Emborg</t>
  </si>
  <si>
    <t>Milk</t>
  </si>
  <si>
    <t>Carton</t>
  </si>
  <si>
    <t>Bottle</t>
  </si>
  <si>
    <t>Coffee bean</t>
  </si>
  <si>
    <t>Beans</t>
  </si>
  <si>
    <t>Bag</t>
  </si>
  <si>
    <t>Fabbles</t>
  </si>
  <si>
    <t>0968-211-0364</t>
  </si>
  <si>
    <t>Mico</t>
  </si>
  <si>
    <t>0927-427-0943</t>
  </si>
  <si>
    <t>Dens</t>
  </si>
  <si>
    <t>0901-123-4560</t>
  </si>
  <si>
    <t>Date</t>
  </si>
  <si>
    <t>Item Name</t>
  </si>
  <si>
    <t>Qty</t>
  </si>
  <si>
    <t>Price per unit (total paid/qty)</t>
  </si>
  <si>
    <t xml:space="preserve">Total paid (invoice amount plus any df) </t>
  </si>
  <si>
    <t xml:space="preserve">Ingredient breakdown: </t>
  </si>
  <si>
    <t>Coffee cost</t>
  </si>
  <si>
    <t>(Unit cost of bag / grams in bag) X Grams used in Recipe</t>
  </si>
  <si>
    <t>Liquid cost (milk/water)</t>
  </si>
  <si>
    <t>(Unit cost of carton / ml in carton) X ml used in drink</t>
  </si>
  <si>
    <t xml:space="preserve">Consumables (hidden costs) </t>
  </si>
  <si>
    <t>Examples:</t>
  </si>
  <si>
    <t xml:space="preserve">V60 paper filter </t>
  </si>
  <si>
    <t>Cups and Lid</t>
  </si>
  <si>
    <t>Sugar</t>
  </si>
  <si>
    <t>TOTAL COST PER SERVING</t>
  </si>
  <si>
    <t xml:space="preserve">Coffee Cost + Liquid Cost + Consumables </t>
  </si>
  <si>
    <t>Row Labels</t>
  </si>
  <si>
    <t>Grand Total</t>
  </si>
  <si>
    <t xml:space="preserve">Sum of Total paid (invoice amount plus any df) </t>
  </si>
  <si>
    <t xml:space="preserve">A. ICED COFFEE </t>
  </si>
  <si>
    <t xml:space="preserve">Coffee cost: </t>
  </si>
  <si>
    <t>Recipe</t>
  </si>
  <si>
    <r>
      <t>0.7 oz</t>
    </r>
    <r>
      <rPr>
        <sz val="11"/>
        <color theme="1"/>
        <rFont val="Aptos Narrow"/>
        <family val="2"/>
        <scheme val="minor"/>
      </rPr>
      <t xml:space="preserve"> of Espresso Beans</t>
    </r>
  </si>
  <si>
    <r>
      <t>10 oz</t>
    </r>
    <r>
      <rPr>
        <sz val="11"/>
        <color theme="1"/>
        <rFont val="Aptos Narrow"/>
        <family val="2"/>
        <scheme val="minor"/>
      </rPr>
      <t xml:space="preserve"> of Whole Milk</t>
    </r>
  </si>
  <si>
    <r>
      <t>1 oz</t>
    </r>
    <r>
      <rPr>
        <sz val="11"/>
        <color theme="1"/>
        <rFont val="Aptos Narrow"/>
        <family val="2"/>
        <scheme val="minor"/>
      </rPr>
      <t xml:space="preserve"> of Vanilla Syrup</t>
    </r>
  </si>
  <si>
    <r>
      <t>1 unit</t>
    </r>
    <r>
      <rPr>
        <sz val="11"/>
        <color theme="1"/>
        <rFont val="Aptos Narrow"/>
        <family val="2"/>
        <scheme val="minor"/>
      </rPr>
      <t xml:space="preserve"> of 12oz Paper Cup</t>
    </r>
  </si>
  <si>
    <t>2. Iced caramel macchiato serving</t>
  </si>
  <si>
    <t xml:space="preserve">1. Hot Latte serving </t>
  </si>
  <si>
    <r>
      <t>10 oz</t>
    </r>
    <r>
      <rPr>
        <sz val="11"/>
        <color theme="1"/>
        <rFont val="Aptos Narrow"/>
        <family val="2"/>
        <scheme val="minor"/>
      </rPr>
      <t xml:space="preserve"> of Cold Milk</t>
    </r>
  </si>
  <si>
    <r>
      <t>0.2 oz</t>
    </r>
    <r>
      <rPr>
        <sz val="11"/>
        <color theme="1"/>
        <rFont val="Aptos Narrow"/>
        <family val="2"/>
        <scheme val="minor"/>
      </rPr>
      <t xml:space="preserve"> of Espresso Beans</t>
    </r>
  </si>
  <si>
    <r>
      <t xml:space="preserve">0.5 oz </t>
    </r>
    <r>
      <rPr>
        <sz val="11"/>
        <color theme="1"/>
        <rFont val="Aptos Narrow"/>
        <family val="2"/>
        <scheme val="minor"/>
      </rPr>
      <t>of Caramel drizzle</t>
    </r>
  </si>
  <si>
    <t>Liquid cost:</t>
  </si>
  <si>
    <t>Vanilla Syrup</t>
  </si>
  <si>
    <t>*Pivot table to show total purchases spent in a particular day</t>
  </si>
  <si>
    <r>
      <t xml:space="preserve">Note: </t>
    </r>
    <r>
      <rPr>
        <b/>
        <i/>
        <sz val="11"/>
        <color theme="1"/>
        <rFont val="Aptos Narrow"/>
        <family val="2"/>
        <scheme val="minor"/>
      </rPr>
      <t>Weighted average</t>
    </r>
    <r>
      <rPr>
        <i/>
        <sz val="11"/>
        <color theme="1"/>
        <rFont val="Aptos Narrow"/>
        <family val="2"/>
        <scheme val="minor"/>
      </rPr>
      <t xml:space="preserve"> is used to determine the unit cost</t>
    </r>
  </si>
  <si>
    <t xml:space="preserve">Consumables: </t>
  </si>
  <si>
    <t>Total cost per serving</t>
  </si>
  <si>
    <t>*same format and process here</t>
  </si>
  <si>
    <t>Note: To automatically deduct COGS and updates the no.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</si>
</sst>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PHP]\ * #,##0.00_);_([$PHP]\ * \(#,##0.00\);_([$PHP]\ * &quot;-&quot;??_);_(@_)"/>
    <numFmt numFmtId="165" formatCode="_-[$₱-3409]* #,##0.00_-;\-[$₱-3409]* #,##0.00_-;_-[$₱-34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ont="1" applyFill="1"/>
    <xf numFmtId="0" fontId="0" fillId="3" borderId="0" xfId="0" applyFont="1" applyFill="1"/>
    <xf numFmtId="0" fontId="5" fillId="3" borderId="0" xfId="0" applyFont="1" applyFill="1"/>
    <xf numFmtId="43" fontId="0" fillId="3" borderId="0" xfId="1" applyFont="1" applyFill="1"/>
    <xf numFmtId="43" fontId="2" fillId="4" borderId="1" xfId="0" applyNumberFormat="1" applyFont="1" applyFill="1" applyBorder="1"/>
    <xf numFmtId="0" fontId="0" fillId="5" borderId="0" xfId="0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RUBBED 2116" refreshedDate="46074.205297685185" createdVersion="8" refreshedVersion="8" minRefreshableVersion="3" recordCount="16" xr:uid="{949F6DA4-1958-41AA-A5B3-625EE5420DFE}">
  <cacheSource type="worksheet">
    <worksheetSource ref="A1:E1048576" sheet="Purchases"/>
  </cacheSource>
  <cacheFields count="5">
    <cacheField name="Date" numFmtId="0">
      <sharedItems containsNonDate="0" containsDate="1" containsString="0" containsBlank="1" minDate="2026-01-30T00:00:00" maxDate="2026-02-21T00:00:00" count="5">
        <d v="2026-01-30T00:00:00"/>
        <d v="2026-02-05T00:00:00"/>
        <d v="2026-02-19T00:00:00"/>
        <d v="2026-02-20T00:00:00"/>
        <m/>
      </sharedItems>
    </cacheField>
    <cacheField name="Item Name" numFmtId="0">
      <sharedItems containsBlank="1" count="5">
        <s v="Caramel Syrup"/>
        <s v="Emborg"/>
        <s v="Coffee bean"/>
        <s v="Chocolate Syrup"/>
        <m/>
      </sharedItems>
    </cacheField>
    <cacheField name="Qty" numFmtId="0">
      <sharedItems containsString="0" containsBlank="1" containsNumber="1" containsInteger="1" minValue="1" maxValue="10" count="7">
        <n v="10"/>
        <n v="5"/>
        <n v="3"/>
        <n v="8"/>
        <n v="2"/>
        <n v="1"/>
        <m/>
      </sharedItems>
    </cacheField>
    <cacheField name="Price per unit (total paid/qty)" numFmtId="0">
      <sharedItems containsString="0" containsBlank="1" containsNumber="1" minValue="105" maxValue="1055"/>
    </cacheField>
    <cacheField name="Total paid (invoice amount plus any df) " numFmtId="0">
      <sharedItems containsString="0" containsBlank="1" containsNumber="1" containsInteger="1" minValue="95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5"/>
    <n v="1050"/>
  </r>
  <r>
    <x v="0"/>
    <x v="1"/>
    <x v="1"/>
    <n v="190"/>
    <n v="950"/>
  </r>
  <r>
    <x v="0"/>
    <x v="2"/>
    <x v="2"/>
    <n v="333.33333333333331"/>
    <n v="1000"/>
  </r>
  <r>
    <x v="1"/>
    <x v="3"/>
    <x v="3"/>
    <n v="137.5"/>
    <n v="1100"/>
  </r>
  <r>
    <x v="2"/>
    <x v="0"/>
    <x v="1"/>
    <n v="211"/>
    <n v="1055"/>
  </r>
  <r>
    <x v="3"/>
    <x v="1"/>
    <x v="4"/>
    <n v="477.5"/>
    <n v="955"/>
  </r>
  <r>
    <x v="3"/>
    <x v="0"/>
    <x v="5"/>
    <n v="1055"/>
    <n v="1055"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  <r>
    <x v="4"/>
    <x v="4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8F31F-4242-4370-8790-33CD383C9E3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axis="axisRow" showAll="0">
      <items count="8">
        <item x="4"/>
        <item x="2"/>
        <item x="1"/>
        <item x="3"/>
        <item x="0"/>
        <item x="6"/>
        <item x="5"/>
        <item t="default"/>
      </items>
    </pivotField>
    <pivotField showAll="0"/>
    <pivotField dataField="1" showAll="0"/>
  </pivotFields>
  <rowFields count="2">
    <field x="1"/>
    <field x="2"/>
  </rowFields>
  <rowItems count="7">
    <i>
      <x/>
    </i>
    <i r="1">
      <x v="4"/>
    </i>
    <i>
      <x v="2"/>
    </i>
    <i r="1">
      <x v="1"/>
    </i>
    <i>
      <x v="3"/>
    </i>
    <i r="1">
      <x v="2"/>
    </i>
    <i t="grand">
      <x/>
    </i>
  </rowItems>
  <colItems count="1">
    <i/>
  </colItems>
  <pageFields count="1">
    <pageField fld="0" item="0" hier="-1"/>
  </pageFields>
  <dataFields count="1">
    <dataField name="Sum of Total paid (invoice amount plus any df) " fld="4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DA6F-B1AD-4891-9889-AD7755C6A83E}">
  <dimension ref="A1:M8"/>
  <sheetViews>
    <sheetView workbookViewId="0">
      <selection activeCell="M4" sqref="M4"/>
    </sheetView>
  </sheetViews>
  <sheetFormatPr defaultRowHeight="14.4" x14ac:dyDescent="0.3"/>
  <cols>
    <col min="1" max="1" width="14.109375" bestFit="1" customWidth="1"/>
    <col min="2" max="2" width="8.33203125" bestFit="1" customWidth="1"/>
    <col min="3" max="3" width="12.44140625" bestFit="1" customWidth="1"/>
    <col min="4" max="4" width="5.77734375" bestFit="1" customWidth="1"/>
    <col min="5" max="5" width="11.5546875" bestFit="1" customWidth="1"/>
    <col min="6" max="6" width="13.21875" bestFit="1" customWidth="1"/>
    <col min="7" max="7" width="12.21875" bestFit="1" customWidth="1"/>
    <col min="8" max="8" width="8.88671875" bestFit="1" customWidth="1"/>
    <col min="9" max="9" width="8.109375" bestFit="1" customWidth="1"/>
    <col min="10" max="10" width="13.44140625" bestFit="1" customWidth="1"/>
  </cols>
  <sheetData>
    <row r="1" spans="1:13" x14ac:dyDescent="0.3">
      <c r="A1" s="1" t="s">
        <v>0</v>
      </c>
      <c r="B1" s="1" t="s">
        <v>8</v>
      </c>
      <c r="C1" s="1" t="s">
        <v>9</v>
      </c>
      <c r="D1" s="1" t="s">
        <v>1</v>
      </c>
      <c r="E1" s="5" t="s">
        <v>2</v>
      </c>
      <c r="F1" s="1" t="s">
        <v>7</v>
      </c>
      <c r="G1" s="1" t="s">
        <v>3</v>
      </c>
      <c r="H1" s="1" t="s">
        <v>4</v>
      </c>
      <c r="I1" s="1" t="s">
        <v>5</v>
      </c>
      <c r="J1" s="1" t="s">
        <v>6</v>
      </c>
      <c r="M1" s="9" t="s">
        <v>60</v>
      </c>
    </row>
    <row r="2" spans="1:13" x14ac:dyDescent="0.3">
      <c r="A2" t="s">
        <v>10</v>
      </c>
      <c r="B2" t="s">
        <v>11</v>
      </c>
      <c r="C2" t="s">
        <v>15</v>
      </c>
      <c r="D2">
        <f>SUMIF(Purchases!B:B,'Main Inventory '!A2,Purchases!C:C)</f>
        <v>16</v>
      </c>
      <c r="E2" s="3">
        <f>SUMIFS(Purchases!E:E,Purchases!B:B,'Main Inventory '!A2)/SUMIFS(Purchases!C:C,Purchases!B:B,'Main Inventory '!A2)</f>
        <v>197.5</v>
      </c>
      <c r="F2" s="4">
        <f>D2*E2</f>
        <v>3160</v>
      </c>
      <c r="G2">
        <v>5</v>
      </c>
      <c r="H2" t="str">
        <f>IF(D2&lt;=G2,"REORDER","OK")</f>
        <v>OK</v>
      </c>
      <c r="I2" t="str">
        <f>VLOOKUP(A2,Supplier!A:D,3,FALSE)</f>
        <v>Fabbles</v>
      </c>
      <c r="J2" t="str">
        <f>VLOOKUP(A2,Supplier!A:D,4,FALSE)</f>
        <v>0968-211-0364</v>
      </c>
      <c r="M2" s="9" t="s">
        <v>64</v>
      </c>
    </row>
    <row r="3" spans="1:13" x14ac:dyDescent="0.3">
      <c r="A3" t="s">
        <v>58</v>
      </c>
      <c r="B3" t="s">
        <v>11</v>
      </c>
      <c r="C3" t="s">
        <v>15</v>
      </c>
      <c r="D3">
        <f>SUMIF(Purchases!B:B,'Main Inventory '!A3,Purchases!C:C)</f>
        <v>8</v>
      </c>
      <c r="E3" s="3">
        <f>SUMIFS(Purchases!E:E,Purchases!B:B,'Main Inventory '!A3)/SUMIFS(Purchases!C:C,Purchases!B:B,'Main Inventory '!A3)</f>
        <v>137.5</v>
      </c>
      <c r="F3" s="4">
        <f t="shared" ref="F3:F5" si="0">D3*E3</f>
        <v>1100</v>
      </c>
      <c r="G3">
        <v>5</v>
      </c>
      <c r="H3" t="str">
        <f>IF(D3&lt;=G3,"REORDER","OK")</f>
        <v>OK</v>
      </c>
      <c r="I3" t="str">
        <f>VLOOKUP(A3,Supplier!A:D,3,FALSE)</f>
        <v>Fabbles</v>
      </c>
      <c r="J3" t="str">
        <f>VLOOKUP(A3,Supplier!A:D,4,FALSE)</f>
        <v>0968-211-0364</v>
      </c>
    </row>
    <row r="4" spans="1:13" x14ac:dyDescent="0.3">
      <c r="A4" t="s">
        <v>12</v>
      </c>
      <c r="B4" t="s">
        <v>13</v>
      </c>
      <c r="C4" t="s">
        <v>14</v>
      </c>
      <c r="D4">
        <f>SUMIF(Purchases!B:B,'Main Inventory '!A4,Purchases!C:C)</f>
        <v>7</v>
      </c>
      <c r="E4" s="3">
        <f>SUMIFS(Purchases!E:E,Purchases!B:B,'Main Inventory '!A4)/SUMIFS(Purchases!C:C,Purchases!B:B,'Main Inventory '!A4)</f>
        <v>272.14285714285717</v>
      </c>
      <c r="F4" s="4">
        <f t="shared" si="0"/>
        <v>1905.0000000000002</v>
      </c>
      <c r="G4">
        <v>5</v>
      </c>
      <c r="H4" t="str">
        <f>IF(D4&lt;=G4,"REORDER","OK")</f>
        <v>OK</v>
      </c>
      <c r="I4" t="str">
        <f>VLOOKUP(A4,Supplier!A:D,3,FALSE)</f>
        <v>Mico</v>
      </c>
      <c r="J4" t="str">
        <f>VLOOKUP(A4,Supplier!A:D,4,FALSE)</f>
        <v>0927-427-0943</v>
      </c>
    </row>
    <row r="5" spans="1:13" x14ac:dyDescent="0.3">
      <c r="A5" t="s">
        <v>16</v>
      </c>
      <c r="B5" t="s">
        <v>17</v>
      </c>
      <c r="C5" t="s">
        <v>18</v>
      </c>
      <c r="D5">
        <f>SUMIF(Purchases!B:B,'Main Inventory '!A5,Purchases!C:C)</f>
        <v>3</v>
      </c>
      <c r="E5" s="3">
        <f>SUMIFS(Purchases!E:E,Purchases!B:B,'Main Inventory '!A5)/SUMIFS(Purchases!C:C,Purchases!B:B,'Main Inventory '!A5)</f>
        <v>333.33333333333331</v>
      </c>
      <c r="F5" s="4">
        <f t="shared" si="0"/>
        <v>1000</v>
      </c>
      <c r="G5">
        <v>4</v>
      </c>
      <c r="H5" t="str">
        <f t="shared" ref="H5" si="1">IF(D5&lt;=G5,"REORDER","OK")</f>
        <v>REORDER</v>
      </c>
      <c r="I5" t="str">
        <f>VLOOKUP(A5,Supplier!A:D,3,FALSE)</f>
        <v>Dens</v>
      </c>
      <c r="J5" t="str">
        <f>VLOOKUP(A5,Supplier!A:D,4,FALSE)</f>
        <v>0901-123-4560</v>
      </c>
    </row>
    <row r="6" spans="1:13" x14ac:dyDescent="0.3">
      <c r="E6" s="2"/>
    </row>
    <row r="8" spans="1:13" x14ac:dyDescent="0.3">
      <c r="A8" s="6"/>
    </row>
  </sheetData>
  <conditionalFormatting sqref="H2:H4">
    <cfRule type="containsText" dxfId="2" priority="3" operator="containsText" text="OK">
      <formula>NOT(ISERROR(SEARCH("OK",H2)))</formula>
    </cfRule>
  </conditionalFormatting>
  <conditionalFormatting sqref="H5">
    <cfRule type="containsText" dxfId="1" priority="1" operator="containsText" text="REORDER">
      <formula>NOT(ISERROR(SEARCH("REORDER",H5)))</formula>
    </cfRule>
    <cfRule type="containsText" dxfId="0" priority="2" operator="containsText" text="REODER">
      <formula>NOT(ISERROR(SEARCH("REODER",H5)))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CDE6-9151-444A-96AD-C170AD3C3BA9}">
  <dimension ref="A1:I14"/>
  <sheetViews>
    <sheetView workbookViewId="0">
      <selection activeCell="H16" sqref="H16"/>
    </sheetView>
  </sheetViews>
  <sheetFormatPr defaultRowHeight="14.4" x14ac:dyDescent="0.3"/>
  <cols>
    <col min="1" max="1" width="9.33203125" bestFit="1" customWidth="1"/>
    <col min="2" max="2" width="14.109375" bestFit="1" customWidth="1"/>
    <col min="3" max="3" width="3.88671875" bestFit="1" customWidth="1"/>
    <col min="4" max="4" width="25.44140625" bestFit="1" customWidth="1"/>
    <col min="5" max="5" width="33.6640625" bestFit="1" customWidth="1"/>
    <col min="8" max="8" width="15" bestFit="1" customWidth="1"/>
    <col min="9" max="9" width="39.77734375" bestFit="1" customWidth="1"/>
    <col min="10" max="10" width="14.6640625" bestFit="1" customWidth="1"/>
    <col min="11" max="11" width="10.77734375" bestFit="1" customWidth="1"/>
    <col min="12" max="12" width="10.44140625" bestFit="1" customWidth="1"/>
    <col min="13" max="13" width="7" bestFit="1" customWidth="1"/>
    <col min="14" max="15" width="10.5546875" bestFit="1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H1" s="10" t="s">
        <v>25</v>
      </c>
      <c r="I1" s="14">
        <v>46052</v>
      </c>
    </row>
    <row r="2" spans="1:9" x14ac:dyDescent="0.3">
      <c r="A2" s="8">
        <v>46052</v>
      </c>
      <c r="B2" t="s">
        <v>10</v>
      </c>
      <c r="C2">
        <v>10</v>
      </c>
      <c r="D2" s="2">
        <f>E2/C2</f>
        <v>105</v>
      </c>
      <c r="E2" s="2">
        <v>1050</v>
      </c>
    </row>
    <row r="3" spans="1:9" x14ac:dyDescent="0.3">
      <c r="A3" s="8">
        <v>46052</v>
      </c>
      <c r="B3" t="s">
        <v>12</v>
      </c>
      <c r="C3">
        <v>5</v>
      </c>
      <c r="D3" s="2">
        <f t="shared" ref="D3:D8" si="0">E3/C3</f>
        <v>190</v>
      </c>
      <c r="E3" s="2">
        <v>950</v>
      </c>
      <c r="H3" s="10" t="s">
        <v>42</v>
      </c>
      <c r="I3" t="s">
        <v>44</v>
      </c>
    </row>
    <row r="4" spans="1:9" x14ac:dyDescent="0.3">
      <c r="A4" s="8">
        <v>46052</v>
      </c>
      <c r="B4" t="s">
        <v>16</v>
      </c>
      <c r="C4">
        <v>3</v>
      </c>
      <c r="D4" s="2">
        <f t="shared" si="0"/>
        <v>333.33333333333331</v>
      </c>
      <c r="E4" s="2">
        <v>1000</v>
      </c>
      <c r="H4" s="11" t="s">
        <v>10</v>
      </c>
      <c r="I4" s="13">
        <v>1050</v>
      </c>
    </row>
    <row r="5" spans="1:9" x14ac:dyDescent="0.3">
      <c r="A5" s="8">
        <v>46058</v>
      </c>
      <c r="B5" t="s">
        <v>58</v>
      </c>
      <c r="C5">
        <v>8</v>
      </c>
      <c r="D5" s="2">
        <f t="shared" si="0"/>
        <v>137.5</v>
      </c>
      <c r="E5" s="2">
        <v>1100</v>
      </c>
      <c r="H5" s="12">
        <v>10</v>
      </c>
      <c r="I5" s="13">
        <v>1050</v>
      </c>
    </row>
    <row r="6" spans="1:9" x14ac:dyDescent="0.3">
      <c r="A6" s="8">
        <v>46072</v>
      </c>
      <c r="B6" t="s">
        <v>10</v>
      </c>
      <c r="C6">
        <v>5</v>
      </c>
      <c r="D6" s="2">
        <f t="shared" si="0"/>
        <v>211</v>
      </c>
      <c r="E6" s="2">
        <v>1055</v>
      </c>
      <c r="H6" s="11" t="s">
        <v>16</v>
      </c>
      <c r="I6" s="13">
        <v>1000</v>
      </c>
    </row>
    <row r="7" spans="1:9" x14ac:dyDescent="0.3">
      <c r="A7" s="8">
        <v>46073</v>
      </c>
      <c r="B7" t="s">
        <v>12</v>
      </c>
      <c r="C7">
        <v>2</v>
      </c>
      <c r="D7" s="2">
        <f t="shared" si="0"/>
        <v>477.5</v>
      </c>
      <c r="E7" s="2">
        <v>955</v>
      </c>
      <c r="H7" s="12">
        <v>3</v>
      </c>
      <c r="I7" s="13">
        <v>1000</v>
      </c>
    </row>
    <row r="8" spans="1:9" x14ac:dyDescent="0.3">
      <c r="A8" s="8">
        <v>46073</v>
      </c>
      <c r="B8" t="s">
        <v>10</v>
      </c>
      <c r="C8">
        <v>1</v>
      </c>
      <c r="D8" s="2">
        <f t="shared" si="0"/>
        <v>1055</v>
      </c>
      <c r="E8" s="2">
        <v>1055</v>
      </c>
      <c r="H8" s="11" t="s">
        <v>12</v>
      </c>
      <c r="I8" s="13">
        <v>950</v>
      </c>
    </row>
    <row r="9" spans="1:9" x14ac:dyDescent="0.3">
      <c r="H9" s="12">
        <v>5</v>
      </c>
      <c r="I9" s="13">
        <v>950</v>
      </c>
    </row>
    <row r="10" spans="1:9" x14ac:dyDescent="0.3">
      <c r="H10" s="11" t="s">
        <v>43</v>
      </c>
      <c r="I10" s="13">
        <v>3000</v>
      </c>
    </row>
    <row r="14" spans="1:9" x14ac:dyDescent="0.3">
      <c r="H14" s="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8153-C5CA-41A3-BAF2-C4502936BF36}">
  <dimension ref="A1:D5"/>
  <sheetViews>
    <sheetView workbookViewId="0">
      <selection activeCell="A4" sqref="A4"/>
    </sheetView>
  </sheetViews>
  <sheetFormatPr defaultRowHeight="14.4" x14ac:dyDescent="0.3"/>
  <cols>
    <col min="1" max="1" width="14.109375" bestFit="1" customWidth="1"/>
    <col min="2" max="2" width="8.33203125" bestFit="1" customWidth="1"/>
    <col min="4" max="4" width="13.44140625" bestFit="1" customWidth="1"/>
  </cols>
  <sheetData>
    <row r="1" spans="1:4" x14ac:dyDescent="0.3">
      <c r="A1" s="1" t="s">
        <v>0</v>
      </c>
      <c r="B1" s="1" t="s">
        <v>8</v>
      </c>
      <c r="C1" s="1" t="s">
        <v>5</v>
      </c>
      <c r="D1" s="1" t="s">
        <v>6</v>
      </c>
    </row>
    <row r="2" spans="1:4" x14ac:dyDescent="0.3">
      <c r="A2" t="s">
        <v>10</v>
      </c>
      <c r="B2" t="s">
        <v>11</v>
      </c>
      <c r="C2" t="s">
        <v>19</v>
      </c>
      <c r="D2" t="s">
        <v>20</v>
      </c>
    </row>
    <row r="3" spans="1:4" x14ac:dyDescent="0.3">
      <c r="A3" t="s">
        <v>58</v>
      </c>
      <c r="B3" t="s">
        <v>11</v>
      </c>
      <c r="C3" t="s">
        <v>19</v>
      </c>
      <c r="D3" t="s">
        <v>20</v>
      </c>
    </row>
    <row r="4" spans="1:4" x14ac:dyDescent="0.3">
      <c r="A4" t="s">
        <v>12</v>
      </c>
      <c r="B4" t="s">
        <v>13</v>
      </c>
      <c r="C4" t="s">
        <v>21</v>
      </c>
      <c r="D4" t="s">
        <v>22</v>
      </c>
    </row>
    <row r="5" spans="1:4" x14ac:dyDescent="0.3">
      <c r="A5" t="s">
        <v>16</v>
      </c>
      <c r="B5" t="s">
        <v>17</v>
      </c>
      <c r="C5" t="s">
        <v>23</v>
      </c>
      <c r="D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7B7E-7D77-44A8-A644-10C47C8A8553}">
  <sheetPr>
    <tabColor rgb="FF00B050"/>
  </sheetPr>
  <dimension ref="A1:D30"/>
  <sheetViews>
    <sheetView tabSelected="1" workbookViewId="0">
      <selection activeCell="E14" sqref="E14"/>
    </sheetView>
  </sheetViews>
  <sheetFormatPr defaultRowHeight="14.4" x14ac:dyDescent="0.3"/>
  <cols>
    <col min="1" max="1" width="20.88671875" bestFit="1" customWidth="1"/>
    <col min="2" max="2" width="3.21875" customWidth="1"/>
    <col min="3" max="3" width="2.88671875" customWidth="1"/>
    <col min="4" max="4" width="28.6640625" bestFit="1" customWidth="1"/>
  </cols>
  <sheetData>
    <row r="1" spans="1:4" x14ac:dyDescent="0.3">
      <c r="A1" s="7" t="s">
        <v>47</v>
      </c>
    </row>
    <row r="2" spans="1:4" x14ac:dyDescent="0.3">
      <c r="A2" s="7"/>
    </row>
    <row r="3" spans="1:4" s="21" customFormat="1" x14ac:dyDescent="0.3">
      <c r="A3" s="21" t="s">
        <v>45</v>
      </c>
    </row>
    <row r="4" spans="1:4" s="15" customFormat="1" x14ac:dyDescent="0.3">
      <c r="A4" s="15" t="s">
        <v>53</v>
      </c>
      <c r="D4" s="16" t="s">
        <v>52</v>
      </c>
    </row>
    <row r="5" spans="1:4" x14ac:dyDescent="0.3">
      <c r="A5" s="1" t="s">
        <v>48</v>
      </c>
      <c r="D5" s="1" t="s">
        <v>50</v>
      </c>
    </row>
    <row r="6" spans="1:4" x14ac:dyDescent="0.3">
      <c r="A6" s="1" t="s">
        <v>49</v>
      </c>
      <c r="D6" s="1" t="s">
        <v>54</v>
      </c>
    </row>
    <row r="7" spans="1:4" x14ac:dyDescent="0.3">
      <c r="A7" s="1" t="s">
        <v>50</v>
      </c>
      <c r="D7" s="1" t="s">
        <v>55</v>
      </c>
    </row>
    <row r="8" spans="1:4" x14ac:dyDescent="0.3">
      <c r="A8" s="1" t="s">
        <v>51</v>
      </c>
      <c r="D8" s="1" t="s">
        <v>56</v>
      </c>
    </row>
    <row r="11" spans="1:4" x14ac:dyDescent="0.3">
      <c r="A11" s="1" t="s">
        <v>46</v>
      </c>
      <c r="D11" s="1" t="s">
        <v>63</v>
      </c>
    </row>
    <row r="12" spans="1:4" x14ac:dyDescent="0.3">
      <c r="A12" s="9" t="str">
        <f>A5</f>
        <v>0.7 oz of Espresso Beans</v>
      </c>
    </row>
    <row r="13" spans="1:4" x14ac:dyDescent="0.3">
      <c r="A13" s="17">
        <f>('Main Inventory '!E5/250)*19.84</f>
        <v>26.453333333333333</v>
      </c>
    </row>
    <row r="15" spans="1:4" x14ac:dyDescent="0.3">
      <c r="A15" s="1" t="s">
        <v>57</v>
      </c>
    </row>
    <row r="16" spans="1:4" x14ac:dyDescent="0.3">
      <c r="A16" s="9" t="str">
        <f>A6</f>
        <v>10 oz of Whole Milk</v>
      </c>
    </row>
    <row r="17" spans="1:1" x14ac:dyDescent="0.3">
      <c r="A17" s="18">
        <f>('Main Inventory '!E4/1000)*295.74</f>
        <v>80.483528571428593</v>
      </c>
    </row>
    <row r="18" spans="1:1" x14ac:dyDescent="0.3">
      <c r="A18" s="9"/>
    </row>
    <row r="19" spans="1:1" x14ac:dyDescent="0.3">
      <c r="A19" s="9" t="str">
        <f>A7</f>
        <v>1 oz of Vanilla Syrup</v>
      </c>
    </row>
    <row r="20" spans="1:1" x14ac:dyDescent="0.3">
      <c r="A20" s="18">
        <f>('Main Inventory '!E3/750)*29.57</f>
        <v>5.4211666666666662</v>
      </c>
    </row>
    <row r="22" spans="1:1" x14ac:dyDescent="0.3">
      <c r="A22" s="7"/>
    </row>
    <row r="23" spans="1:1" x14ac:dyDescent="0.3">
      <c r="A23" s="1" t="s">
        <v>61</v>
      </c>
    </row>
    <row r="24" spans="1:1" x14ac:dyDescent="0.3">
      <c r="A24" s="9" t="str">
        <f>A8</f>
        <v>1 unit of 12oz Paper Cup</v>
      </c>
    </row>
    <row r="25" spans="1:1" x14ac:dyDescent="0.3">
      <c r="A25" s="19">
        <v>5</v>
      </c>
    </row>
    <row r="28" spans="1:1" x14ac:dyDescent="0.3">
      <c r="A28" s="1" t="s">
        <v>62</v>
      </c>
    </row>
    <row r="29" spans="1:1" ht="15" thickBot="1" x14ac:dyDescent="0.35">
      <c r="A29" s="20">
        <f>A13+A17+A20+A25</f>
        <v>117.35802857142859</v>
      </c>
    </row>
    <row r="30" spans="1:1" ht="15" thickTop="1" x14ac:dyDescent="0.3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4188-C6C3-4079-A570-4E30164B0AE7}">
  <sheetPr>
    <tabColor rgb="FFFFFF00"/>
  </sheetPr>
  <dimension ref="A1:A24"/>
  <sheetViews>
    <sheetView workbookViewId="0">
      <selection activeCell="A27" sqref="A27"/>
    </sheetView>
  </sheetViews>
  <sheetFormatPr defaultRowHeight="14.4" x14ac:dyDescent="0.3"/>
  <sheetData>
    <row r="1" spans="1:1" x14ac:dyDescent="0.3">
      <c r="A1" t="s">
        <v>30</v>
      </c>
    </row>
    <row r="4" spans="1:1" x14ac:dyDescent="0.3">
      <c r="A4" s="1" t="s">
        <v>31</v>
      </c>
    </row>
    <row r="5" spans="1:1" x14ac:dyDescent="0.3">
      <c r="A5" t="s">
        <v>32</v>
      </c>
    </row>
    <row r="7" spans="1:1" x14ac:dyDescent="0.3">
      <c r="A7" s="9"/>
    </row>
    <row r="9" spans="1:1" x14ac:dyDescent="0.3">
      <c r="A9" s="1" t="s">
        <v>33</v>
      </c>
    </row>
    <row r="10" spans="1:1" x14ac:dyDescent="0.3">
      <c r="A10" t="s">
        <v>34</v>
      </c>
    </row>
    <row r="14" spans="1:1" x14ac:dyDescent="0.3">
      <c r="A14" s="1" t="s">
        <v>35</v>
      </c>
    </row>
    <row r="15" spans="1:1" x14ac:dyDescent="0.3">
      <c r="A15" t="s">
        <v>36</v>
      </c>
    </row>
    <row r="16" spans="1:1" x14ac:dyDescent="0.3">
      <c r="A16" s="9" t="s">
        <v>37</v>
      </c>
    </row>
    <row r="17" spans="1:1" x14ac:dyDescent="0.3">
      <c r="A17" s="9" t="s">
        <v>38</v>
      </c>
    </row>
    <row r="18" spans="1:1" x14ac:dyDescent="0.3">
      <c r="A18" s="9" t="s">
        <v>39</v>
      </c>
    </row>
    <row r="19" spans="1:1" x14ac:dyDescent="0.3">
      <c r="A19" s="9"/>
    </row>
    <row r="20" spans="1:1" x14ac:dyDescent="0.3">
      <c r="A20" s="9"/>
    </row>
    <row r="21" spans="1:1" x14ac:dyDescent="0.3">
      <c r="A21" s="9"/>
    </row>
    <row r="23" spans="1:1" x14ac:dyDescent="0.3">
      <c r="A23" s="7" t="s">
        <v>40</v>
      </c>
    </row>
    <row r="24" spans="1:1" x14ac:dyDescent="0.3">
      <c r="A24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Inventory </vt:lpstr>
      <vt:lpstr>Purchases</vt:lpstr>
      <vt:lpstr>Supplier</vt:lpstr>
      <vt:lpstr>COST PER SERVING</vt:lpstr>
      <vt:lpstr>COST PER SERVING_Formula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Nonilyn Satumbaga</dc:creator>
  <cp:lastModifiedBy>Nonilyn Satumbaga</cp:lastModifiedBy>
  <dcterms:created xsi:type="dcterms:W3CDTF">2026-02-21T02:11:36Z</dcterms:created>
  <dcterms:modified xsi:type="dcterms:W3CDTF">2026-02-21T14:02:51Z</dcterms:modified>
</cp:coreProperties>
</file>